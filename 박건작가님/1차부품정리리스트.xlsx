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ssp\Downloads\"/>
    </mc:Choice>
  </mc:AlternateContent>
  <xr:revisionPtr revIDLastSave="0" documentId="13_ncr:1_{205D5897-34D7-4D87-8305-EC305476BB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_부품목록_BOM_구매링크" sheetId="1" r:id="rId1"/>
    <sheet name="2_부품별_상세기능_및_원리" sheetId="2" r:id="rId2"/>
    <sheet name="3_하드웨어_배선_및_핀매핑" sheetId="3" r:id="rId3"/>
    <sheet name="4_전력검증_소프트웨어로직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E11" i="1"/>
  <c r="G10" i="1"/>
  <c r="D10" i="1"/>
  <c r="G9" i="1"/>
  <c r="D9" i="1"/>
  <c r="G8" i="1"/>
  <c r="D8" i="1"/>
  <c r="G7" i="1"/>
  <c r="D7" i="1"/>
  <c r="G6" i="1"/>
  <c r="D6" i="1"/>
  <c r="G5" i="1"/>
  <c r="D5" i="1"/>
</calcChain>
</file>

<file path=xl/sharedStrings.xml><?xml version="1.0" encoding="utf-8"?>
<sst xmlns="http://schemas.openxmlformats.org/spreadsheetml/2006/main" count="230" uniqueCount="185">
  <si>
    <t>인터랙티브 숫자 추첨 &amp; 가변 진동 장치 - 부품 목록 및 구매 링크 (BOM)</t>
  </si>
  <si>
    <t>* 디바이스마트(Devicemart) 부품 풀 링크 및 기본 사양 정리</t>
  </si>
  <si>
    <t>No.</t>
  </si>
  <si>
    <t>구분</t>
  </si>
  <si>
    <t>부품명 및 모델명</t>
  </si>
  <si>
    <t>구매 링크 (클릭 가능 URL)</t>
  </si>
  <si>
    <t>수량</t>
  </si>
  <si>
    <t>단가(원)</t>
  </si>
  <si>
    <t>합계(원)</t>
  </si>
  <si>
    <t>핵심 기능 요약</t>
  </si>
  <si>
    <t>제어부 (MCU)</t>
  </si>
  <si>
    <t>아두이노 우노 R3 호환보드 [SZH-EK002]</t>
  </si>
  <si>
    <t>전체 시스템 두뇌. 버튼/가변저항 입력 감지, 난수 생성, 화면/진동/사운드 총괄 제어 (USB 케이블 포함)</t>
  </si>
  <si>
    <t>출력부 (화면)</t>
  </si>
  <si>
    <t>2.42인치 I2C OLED 화이트 [SMG] (SSD1309)</t>
  </si>
  <si>
    <t>128x64 해상도 OLED. 버튼 입력 시 6자리 난수를 큼직한 폰트/도트 그래픽으로 시각화</t>
  </si>
  <si>
    <t>출력부 (진동)</t>
  </si>
  <si>
    <t>아두이노 진동모터 모듈 [ELB060416]</t>
  </si>
  <si>
    <t>MOS 드라이버 내장형 코인 모터. PWM 신호를 받아 0~100% 세기별 부드러운 물리 진동 발생</t>
  </si>
  <si>
    <t>출력부 (소리)</t>
  </si>
  <si>
    <t>아두이노 패시브 부저 모듈 [ELB030301]</t>
  </si>
  <si>
    <t>수동(Passive) 피에조 부저. 숫자 생성 시 '띠리리리' 룰렛 효과음을 주파수별로 연주</t>
  </si>
  <si>
    <t>입력부 (조절)</t>
  </si>
  <si>
    <t>스위치가변저항 10kΩ RV097NS B10K [OEM]</t>
  </si>
  <si>
    <t>회전 각도에 따라 0~5V 아날로그 전압 분압. 노브를 돌려 실시간으로 진동 강도 조절</t>
  </si>
  <si>
    <t>입력부 (버튼)</t>
  </si>
  <si>
    <t>누름 버튼 스위치 PBS-4025B (빨강)</t>
  </si>
  <si>
    <t>누를 때 회로를 GND로 쇼트시켜 디지털 신호 감지. 숫자 추첨 및 효과음 재생 트리거</t>
  </si>
  <si>
    <t>합계 (VAT 포함)</t>
  </si>
  <si>
    <t>-</t>
  </si>
  <si>
    <t>별도 외부 전원 어댑터 불필요 (PC USB 전원 500mA로 단독 구동)</t>
  </si>
  <si>
    <t>부품별 상세 기능 및 작동 원리 해설</t>
  </si>
  <si>
    <t>* 각 하드웨어가 사용자 요구사항(숫자 생성, 화면 표시, 가변 진동, 사운드)을 처리하는 메커니즘</t>
  </si>
  <si>
    <t>부품명</t>
  </si>
  <si>
    <t>하드웨어 역할</t>
  </si>
  <si>
    <t>동작 원리 (Mechanism)</t>
  </si>
  <si>
    <t>사용자 요구 기능과의 연계 및 장점</t>
  </si>
  <si>
    <t>주의 및 활용 팁</t>
  </si>
  <si>
    <t>아두이노 우노 R3
[SZH-EK002]</t>
  </si>
  <si>
    <t>메인 연산/제어 장치 (MCU)</t>
  </si>
  <si>
    <t>ATmega328P 마이크로컨트롤러가 16MHz로 작동하며 입력(버튼/가변저항)을 초당 수천 번 스캔하고, 화면/부저/모터로 즉각 제어 신호를 분배합니다.</t>
  </si>
  <si>
    <t>• 버튼 클릭 감지 시 무작위 6자리 난수 알고리즘 실행
• 가변저항 수치를 읽어 진동 모터 PWM 값으로 실시간 변환
• 패시브 부저에 주파수 음계(tone) 출력</t>
  </si>
  <si>
    <t>• ATmega16U2 칩 사용으로 PC 연결 시 별도 CH340 드라이버 설치 없이 즉시 인식됩니다.
• 1.5m USB 케이블이 포함되어 있어 추가 케이블 구매가 필요 없습니다.</t>
  </si>
  <si>
    <t>2.42인치 I2C OLED
[SMG / SSD1309]</t>
  </si>
  <si>
    <t>시각 디스플레이 (출력)</t>
  </si>
  <si>
    <t>자체 발광 소자인 OLED 픽셀(128×64)을 I2C 통신(SDA, SCL 2개 선)으로 제어하여 검은 배경에 선명한 흰색 텍스트/도트 그래픽을 그립니다.</t>
  </si>
  <si>
    <t>• 요청하신 '도트 감성의 6자리 숫자'를 큼직하고 시원한 2.42인치 화면에 롤링 애니메이션 효과로 표현
• 백라이트가 없어 암실에서도 텍스트가 번짐 없이 뚜렷함</t>
  </si>
  <si>
    <t>• 일반적인 0.96인치 대비 화면 면적이 4배 이상 커서 가독성이 뛰어납니다.
• 아두이노 'U8g2' 라이브러리를 사용하면 다양한 레트로 도트 폰트를 손쉽게 적용할 수 있습니다.</t>
  </si>
  <si>
    <t>진동모터 모듈
[ELB060416]</t>
  </si>
  <si>
    <t>물리 진동 피드백 (출력)</t>
  </si>
  <si>
    <t>내부에 편심 모터가 들어있어 회전 시 무게 불균형으로 물리적 떨림이 발생합니다. 온보드 MOSFET 트랜지스터가 PWM 펄스 폭에 따라 모터 구동 전압을 제어합니다.</t>
  </si>
  <si>
    <t>• 가변저항 노브를 돌리는 만큼 진동 세기가 약한 미세 떨림부터 강한 진동까지 부드럽게 연속 가변</t>
  </si>
  <si>
    <t>• 모듈 내부에 스위칭 드라이버 회로가 내장되어 있어 아두이노 핀 손상 없이 안전하게 PWM 직결 제어가 가능합니다.</t>
  </si>
  <si>
    <t>패시브 부저 모듈
[ELB030301]</t>
  </si>
  <si>
    <t>효과음 오디오 피드백 (출력)</t>
  </si>
  <si>
    <t>압전 세라믹(Piezo) 소자에 아두이노가 주파수 신호(Hz)를 보내면 진동판이 떨리며 해당 주파수에 맞는 맑은 음계 멜로디가 발생합니다.</t>
  </si>
  <si>
    <t>• 버튼을 누를 때 단조로운 비프음이 아니라 '띠-리-리-리-' 하고 올라가는 카지노/룰렛 사운드 완벽 구현</t>
  </si>
  <si>
    <t>• 단일 주파수만 울리는 '능동(Active) 부저'와 달리, '수동(Passive) 부저'이므로 도-레-미-파 음계 및 효과음 톤을 코드로 자유롭게 작곡/변경할 수 있습니다.</t>
  </si>
  <si>
    <t>스위치 가변저항 10kΩ
[RV097NS B10K]</t>
  </si>
  <si>
    <t>진동 세기 조절 다이얼 (입력)</t>
  </si>
  <si>
    <t>3단자 분압기 구조로 회전 축을 돌리면 0V ~ 5V 사이의 연속적인 아날로그 전압이 출력되며, 아두이노가 이를 0 ~ 1023 단계의 정밀한 숫자로 읽어냅니다.</t>
  </si>
  <si>
    <t>• 사용자가 손으로 돌리는 볼륨 노브 조작감을 제공하며, 직관적인 진동 강약 조절 가능
• 끝까지 돌리면 딸깍 꺼지는 스위치 일체형</t>
  </si>
  <si>
    <t>• 5개 핀 중 가변저항용 3핀(양끝: 5V/GND, 가운데: A0 신호)만 아두이노에 연결하시면 됩니다. (스위치 2핀은 미사용 가능)</t>
  </si>
  <si>
    <t>누름 버튼 스위치
[PBS-4025B]</t>
  </si>
  <si>
    <t>추첨 시작 트리거 (입력)</t>
  </si>
  <si>
    <t>평상시 열려 있다가 손가락으로 누르는 순간 내부 접점이 닫혀 전류가 통하는 모멘터리(Momentary) 푸시 버튼입니다.</t>
  </si>
  <si>
    <t>• 빨간색 대형 푸시 버튼으로 장치의 '추첨 시작' 버튼 역할을 확실하게 수행</t>
  </si>
  <si>
    <t>• 아두이노 코드에서 `pinMode(2, INPUT_PULLUP)`을 선언하면 외부 저항 없이 스위치 한쪽은 D2, 다른 한쪽은 GND에 바로 직결 가능합니다.</t>
  </si>
  <si>
    <t>하드웨어 배선 가이드 및 아두이노 핀 매핑 테이블</t>
  </si>
  <si>
    <t>* 브레드보드 및 점퍼선으로 직결할 때 1:1 연결 핀 매핑 상세 가이드</t>
  </si>
  <si>
    <t>부품 측 핀 명칭</t>
  </si>
  <si>
    <t>아두이노 우노 연결 핀</t>
  </si>
  <si>
    <t>신호 유형</t>
  </si>
  <si>
    <t>배선 색상 권장</t>
  </si>
  <si>
    <t>상세 배선 가이드 및 설명</t>
  </si>
  <si>
    <t>2.42인치 OLED 디스플레이</t>
  </si>
  <si>
    <t>VCC</t>
  </si>
  <si>
    <t>5V (전원)</t>
  </si>
  <si>
    <t>전원 (+) 5V</t>
  </si>
  <si>
    <t>빨간색 (Red)</t>
  </si>
  <si>
    <t>아두이노 5V 전원 레일에 연결</t>
  </si>
  <si>
    <t>GND</t>
  </si>
  <si>
    <t>GND (공통 접지)</t>
  </si>
  <si>
    <t>접지 (-) 0V</t>
  </si>
  <si>
    <t>검은색 (Black)</t>
  </si>
  <si>
    <t>아두이노 GND 레일에 연결</t>
  </si>
  <si>
    <t>SCL (SCK)</t>
  </si>
  <si>
    <t>A5 핀 (또는 SCL 핀)</t>
  </si>
  <si>
    <t>I2C 클록 신호</t>
  </si>
  <si>
    <t>노란색/주황색</t>
  </si>
  <si>
    <t>디스플레이 데이터 전송용 동기화 클록 신호</t>
  </si>
  <si>
    <t>SDA</t>
  </si>
  <si>
    <t>A4 핀 (또는 SDA 핀)</t>
  </si>
  <si>
    <t>I2C 데이터 신호</t>
  </si>
  <si>
    <t>파란색/초록색</t>
  </si>
  <si>
    <t>디스플레이 그래픽 데이터 전송선</t>
  </si>
  <si>
    <t>진동모터 모듈</t>
  </si>
  <si>
    <t>VCC (+)</t>
  </si>
  <si>
    <t>모터 구동용 메인 전원 (5V)</t>
  </si>
  <si>
    <t>GND (-)</t>
  </si>
  <si>
    <t>공통 접지선</t>
  </si>
  <si>
    <t>IN (신호)</t>
  </si>
  <si>
    <t>D9 핀 (디지털 PWM)</t>
  </si>
  <si>
    <t>PWM 출력 (0~255)</t>
  </si>
  <si>
    <t>파란색/보라색</t>
  </si>
  <si>
    <t>analogWrite(9, val) 명령으로 진동 세기 조절</t>
  </si>
  <si>
    <t>패시브 부저 모듈</t>
  </si>
  <si>
    <t>부저 구동 전원</t>
  </si>
  <si>
    <t>I/O (신호)</t>
  </si>
  <si>
    <t>D3 핀 (디지털 PWM)</t>
  </si>
  <si>
    <t>주파수 사각파 (tone)</t>
  </si>
  <si>
    <t>초록색/노란색</t>
  </si>
  <si>
    <t>tone(3, freq, dur) 명령으로 띠리리리 멜로디 출력</t>
  </si>
  <si>
    <t>스위치 가변저항 10k</t>
  </si>
  <si>
    <t>단자 1 (좌측)</t>
  </si>
  <si>
    <t>기준 전압 (+5V)</t>
  </si>
  <si>
    <t>저항체 한쪽 끝 전원 공급</t>
  </si>
  <si>
    <t>단자 2 (가운데)</t>
  </si>
  <si>
    <t>A0 핀 (아날로그 입력)</t>
  </si>
  <si>
    <t>아날로그 전압 (0~5V)</t>
  </si>
  <si>
    <t>흰색/노란색</t>
  </si>
  <si>
    <t>analogRead(A0)로 0~1023 회전값 측정</t>
  </si>
  <si>
    <t>단자 3 (우측)</t>
  </si>
  <si>
    <t>기준 접지 (0V)</t>
  </si>
  <si>
    <t>저항체 반대쪽 끝 접지</t>
  </si>
  <si>
    <t>누름 버튼 스위치 (빨강)</t>
  </si>
  <si>
    <t>스위치 단자 A</t>
  </si>
  <si>
    <t>D2 핀 (디지털 입력)</t>
  </si>
  <si>
    <t>디지털 입력 (Pull-up)</t>
  </si>
  <si>
    <t>파란색/주황색</t>
  </si>
  <si>
    <t>pinMode(2, INPUT_PULLUP)으로 내부 풀업 활성화</t>
  </si>
  <si>
    <t>스위치 단자 B</t>
  </si>
  <si>
    <t>접지 (0V)</t>
  </si>
  <si>
    <t>버튼을 누르면 D2가 GND로 연결되어 LOW 인식</t>
  </si>
  <si>
    <t>전력 소모 안전성 검증 및 소프트웨어 구현 로직</t>
  </si>
  <si>
    <t>* USB 단독 직결 구동 검증 수치 및 아두이노 C++ 코드 동작 메커니즘</t>
  </si>
  <si>
    <t>[1] 전력 및 전압 안전성 검증 (USB 500mA 한도 내)</t>
  </si>
  <si>
    <t>구동 전압</t>
  </si>
  <si>
    <t>소모 전류 (Max)</t>
  </si>
  <si>
    <t>직결 안전성</t>
  </si>
  <si>
    <t>안전 구동 메커니즘</t>
  </si>
  <si>
    <t>아두이노 우노 R3 보드</t>
  </si>
  <si>
    <t>5V</t>
  </si>
  <si>
    <t>~50 mA</t>
  </si>
  <si>
    <t>안전</t>
  </si>
  <si>
    <t>메인 MCU 구동 기본 전류</t>
  </si>
  <si>
    <t>~35 mA</t>
  </si>
  <si>
    <t>전체 픽셀 점등 시에도 40mA 미만으로 5V 레일에 무리 없음</t>
  </si>
  <si>
    <t>진동 모터 모듈 (ELB060416)</t>
  </si>
  <si>
    <t>~80 mA</t>
  </si>
  <si>
    <t>MOS 드라이버 내장으로 신호핀 전류 1mA 미만, 전원은 5V 레일에서 공급</t>
  </si>
  <si>
    <t>~25 mA</t>
  </si>
  <si>
    <t>아두이노 디지털 핀 최대 허용치(40mA) 이내로 안전 직결</t>
  </si>
  <si>
    <t>가변저항 10kΩ + 누름버튼</t>
  </si>
  <si>
    <t>~1 mA</t>
  </si>
  <si>
    <t>저항 분압 및 내부 풀업 방식으로 전류 소모 극소량</t>
  </si>
  <si>
    <t>전체 부품 동시 풀가동 시 총 전류</t>
  </si>
  <si>
    <t>약 191 mA</t>
  </si>
  <si>
    <t>매우 안전</t>
  </si>
  <si>
    <t>PC USB 공급 한도(500mA)의 약 38% 수준으로 전압 강하 없이 완벽 구동</t>
  </si>
  <si>
    <t>[2] 아두이노 핵심 소프트웨어 제어 알고리즘</t>
  </si>
  <si>
    <t>단계</t>
  </si>
  <si>
    <t>기능 영역</t>
  </si>
  <si>
    <t>구현 코드 / 핵심 함수</t>
  </si>
  <si>
    <t>세부 처리 로직 및 사용자 경험(UX)</t>
  </si>
  <si>
    <t>Step 1</t>
  </si>
  <si>
    <t>초기화 (Setup)</t>
  </si>
  <si>
    <t>randomSeed(analogRead(A1));
u8g2.begin();</t>
  </si>
  <si>
    <t>플로팅 핀(A1) 노이즈를 시드로 받아 완벽한 난수 생성 준비 및 OLED 디스플레이 초기화</t>
  </si>
  <si>
    <t>Step 2</t>
  </si>
  <si>
    <t>진동 실시간 조절</t>
  </si>
  <si>
    <t>int pot = analogRead(A0);
int pwm = map(pot, 0, 1023, 0, 255);
analogWrite(9, pwm);</t>
  </si>
  <si>
    <t>loop() 문에서 매 순간 가변저항 값을 0~255 PWM 값으로 변환하여 노브를 돌리는 즉시 진동 세기 반영</t>
  </si>
  <si>
    <t>Step 3</t>
  </si>
  <si>
    <t>버튼 입력 감지</t>
  </si>
  <si>
    <t>if (digitalRead(2) == LOW) {
  // 버튼 눌림
}</t>
  </si>
  <si>
    <t>D2 핀이 LOW가 되는 순간(버튼 클릭)을 감지하고 디바운스(Debounce) 처리 후 추첨 시퀀스 진입</t>
  </si>
  <si>
    <t>Step 4</t>
  </si>
  <si>
    <t>효과음 &amp; 숫자 롤링</t>
  </si>
  <si>
    <t>tone(3, freq, 40);
random(0, 10);</t>
  </si>
  <si>
    <t>0.5~1초 동안 부저 주파수를 점점 높이며(띠리리리) 6자리 숫자가 룰렛처럼 빠르게 바뀌는 애니메이션 재생</t>
  </si>
  <si>
    <t>Step 5</t>
  </si>
  <si>
    <t>최종 숫자 확정</t>
  </si>
  <si>
    <t>u8g2.drawStr(x, y, finalNum);
tone(3, 1500, 200);</t>
  </si>
  <si>
    <t>최종 6자리 난수를 화면에 크게 고정하고 '딩동' 확정 효과음 재생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</si>
</sst>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14">
    <font>
      <sz val="11"/>
      <color theme="1"/>
      <name val="맑은 고딕"/>
      <family val="2"/>
      <scheme val="minor"/>
    </font>
    <font>
      <b/>
      <sz val="15"/>
      <color rgb="FF1F4E78"/>
      <name val="Malgun Gothic"/>
      <family val="3"/>
      <charset val="129"/>
    </font>
    <font>
      <i/>
      <sz val="10"/>
      <color rgb="FF595959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1"/>
      <color rgb="FF1F4E78"/>
      <name val="Malgun Gothic"/>
      <family val="3"/>
      <charset val="129"/>
    </font>
    <font>
      <b/>
      <sz val="9"/>
      <color rgb="FF1F4E78"/>
      <name val="Malgun Gothic"/>
      <family val="3"/>
      <charset val="129"/>
    </font>
    <font>
      <b/>
      <sz val="10"/>
      <color rgb="FF1F4E78"/>
      <name val="Malgun Gothic"/>
      <family val="3"/>
      <charset val="129"/>
    </font>
    <font>
      <b/>
      <sz val="10"/>
      <color rgb="FF008000"/>
      <name val="Malgun Gothic"/>
      <family val="3"/>
      <charset val="129"/>
    </font>
    <font>
      <b/>
      <sz val="9"/>
      <color rgb="FF1F4E78"/>
      <name val="Consolas"/>
    </font>
    <font>
      <b/>
      <sz val="11"/>
      <color rgb="FF000000"/>
      <name val="Malgun Gothic"/>
      <family val="3"/>
      <charset val="129"/>
    </font>
    <font>
      <b/>
      <u/>
      <sz val="11"/>
      <color rgb="FF0563C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EAEEF3"/>
        <bgColor rgb="FFEAEEF3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3" fontId="5" fillId="5" borderId="3" xfId="0" applyNumberFormat="1" applyFont="1" applyFill="1" applyBorder="1" applyAlignment="1">
      <alignment horizontal="right" vertical="center"/>
    </xf>
    <xf numFmtId="0" fontId="0" fillId="5" borderId="3" xfId="0" applyFill="1" applyBorder="1" applyAlignment="1">
      <alignment horizontal="center" vertical="center"/>
    </xf>
    <xf numFmtId="176" fontId="6" fillId="5" borderId="3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right" vertical="center"/>
    </xf>
    <xf numFmtId="0" fontId="9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0" fillId="5" borderId="3" xfId="0" applyFill="1" applyBorder="1"/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6" fillId="6" borderId="0" xfId="0" applyFont="1" applyFill="1"/>
    <xf numFmtId="0" fontId="0" fillId="0" borderId="0" xfId="0"/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/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3" fontId="11" fillId="3" borderId="2" xfId="0" applyNumberFormat="1" applyFont="1" applyFill="1" applyBorder="1" applyAlignment="1">
      <alignment horizontal="right" vertical="center"/>
    </xf>
    <xf numFmtId="0" fontId="11" fillId="3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4" topLeftCell="A5" activePane="bottomLeft" state="frozen"/>
      <selection pane="bottomLeft" activeCell="A5" sqref="A5:H10"/>
    </sheetView>
  </sheetViews>
  <sheetFormatPr defaultRowHeight="16.5"/>
  <cols>
    <col min="1" max="1" width="8" customWidth="1"/>
    <col min="2" max="2" width="15" customWidth="1"/>
    <col min="3" max="3" width="35" customWidth="1"/>
    <col min="4" max="4" width="52" customWidth="1"/>
    <col min="5" max="5" width="8" customWidth="1"/>
    <col min="6" max="6" width="12" customWidth="1"/>
    <col min="7" max="7" width="14" customWidth="1"/>
    <col min="8" max="8" width="48" customWidth="1"/>
  </cols>
  <sheetData>
    <row r="1" spans="1:8" ht="24">
      <c r="A1" s="1" t="s">
        <v>0</v>
      </c>
    </row>
    <row r="2" spans="1:8">
      <c r="A2" s="2" t="s">
        <v>1</v>
      </c>
    </row>
    <row r="4" spans="1:8" ht="27.9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36" customHeight="1">
      <c r="A5" s="32">
        <v>1</v>
      </c>
      <c r="B5" s="32" t="s">
        <v>10</v>
      </c>
      <c r="C5" s="33" t="s">
        <v>11</v>
      </c>
      <c r="D5" s="34" t="str">
        <f>HYPERLINK("https://www.devicemart.co.kr/goods/view?no=1245596", "https://www.devicemart.co.kr/goods/view?no=1245596")</f>
        <v>https://www.devicemart.co.kr/goods/view?no=1245596</v>
      </c>
      <c r="E5" s="35">
        <v>1</v>
      </c>
      <c r="F5" s="35">
        <v>10890</v>
      </c>
      <c r="G5" s="35">
        <f t="shared" ref="G5:G10" si="0">E5*F5</f>
        <v>10890</v>
      </c>
      <c r="H5" s="36" t="s">
        <v>12</v>
      </c>
    </row>
    <row r="6" spans="1:8" ht="36" customHeight="1">
      <c r="A6" s="37">
        <v>2</v>
      </c>
      <c r="B6" s="37" t="s">
        <v>13</v>
      </c>
      <c r="C6" s="38" t="s">
        <v>14</v>
      </c>
      <c r="D6" s="39" t="str">
        <f>HYPERLINK("https://www.devicemart.co.kr/goods/view?no=12525556", "https://www.devicemart.co.kr/goods/view?no=12525556")</f>
        <v>https://www.devicemart.co.kr/goods/view?no=12525556</v>
      </c>
      <c r="E6" s="40">
        <v>1</v>
      </c>
      <c r="F6" s="40">
        <v>30250</v>
      </c>
      <c r="G6" s="40">
        <f t="shared" si="0"/>
        <v>30250</v>
      </c>
      <c r="H6" s="41" t="s">
        <v>15</v>
      </c>
    </row>
    <row r="7" spans="1:8" ht="36" customHeight="1">
      <c r="A7" s="32">
        <v>3</v>
      </c>
      <c r="B7" s="32" t="s">
        <v>16</v>
      </c>
      <c r="C7" s="33" t="s">
        <v>17</v>
      </c>
      <c r="D7" s="34" t="str">
        <f>HYPERLINK("https://www.devicemart.co.kr/goods/view?no=1312092", "https://www.devicemart.co.kr/goods/view?no=1312092")</f>
        <v>https://www.devicemart.co.kr/goods/view?no=1312092</v>
      </c>
      <c r="E7" s="35">
        <v>1</v>
      </c>
      <c r="F7" s="35">
        <v>3300</v>
      </c>
      <c r="G7" s="35">
        <f t="shared" si="0"/>
        <v>3300</v>
      </c>
      <c r="H7" s="36" t="s">
        <v>18</v>
      </c>
    </row>
    <row r="8" spans="1:8" ht="36" customHeight="1">
      <c r="A8" s="37">
        <v>4</v>
      </c>
      <c r="B8" s="37" t="s">
        <v>19</v>
      </c>
      <c r="C8" s="38" t="s">
        <v>20</v>
      </c>
      <c r="D8" s="39" t="str">
        <f>HYPERLINK("https://www.devicemart.co.kr/goods/view?no=1383969", "https://www.devicemart.co.kr/goods/view?no=1383969")</f>
        <v>https://www.devicemart.co.kr/goods/view?no=1383969</v>
      </c>
      <c r="E8" s="40">
        <v>1</v>
      </c>
      <c r="F8" s="40">
        <v>1980</v>
      </c>
      <c r="G8" s="40">
        <f t="shared" si="0"/>
        <v>1980</v>
      </c>
      <c r="H8" s="41" t="s">
        <v>21</v>
      </c>
    </row>
    <row r="9" spans="1:8" ht="36" customHeight="1">
      <c r="A9" s="32">
        <v>5</v>
      </c>
      <c r="B9" s="32" t="s">
        <v>22</v>
      </c>
      <c r="C9" s="33" t="s">
        <v>23</v>
      </c>
      <c r="D9" s="34" t="str">
        <f>HYPERLINK("https://www.devicemart.co.kr/goods/view?no=1382772", "https://www.devicemart.co.kr/goods/view?no=1382772")</f>
        <v>https://www.devicemart.co.kr/goods/view?no=1382772</v>
      </c>
      <c r="E9" s="35">
        <v>1</v>
      </c>
      <c r="F9" s="35">
        <v>2750</v>
      </c>
      <c r="G9" s="35">
        <f t="shared" si="0"/>
        <v>2750</v>
      </c>
      <c r="H9" s="36" t="s">
        <v>24</v>
      </c>
    </row>
    <row r="10" spans="1:8" ht="36" customHeight="1">
      <c r="A10" s="37">
        <v>6</v>
      </c>
      <c r="B10" s="37" t="s">
        <v>25</v>
      </c>
      <c r="C10" s="38" t="s">
        <v>26</v>
      </c>
      <c r="D10" s="39" t="str">
        <f>HYPERLINK("https://www.devicemart.co.kr/goods/view?no=38185", "https://www.devicemart.co.kr/goods/view?no=38185")</f>
        <v>https://www.devicemart.co.kr/goods/view?no=38185</v>
      </c>
      <c r="E10" s="40">
        <v>1</v>
      </c>
      <c r="F10" s="40">
        <v>880</v>
      </c>
      <c r="G10" s="40">
        <f t="shared" si="0"/>
        <v>880</v>
      </c>
      <c r="H10" s="41" t="s">
        <v>27</v>
      </c>
    </row>
    <row r="11" spans="1:8" ht="24.95" customHeight="1">
      <c r="A11" s="24" t="s">
        <v>28</v>
      </c>
      <c r="B11" s="25"/>
      <c r="C11" s="25"/>
      <c r="D11" s="25"/>
      <c r="E11" s="10">
        <f>SUM(E5:E10)</f>
        <v>6</v>
      </c>
      <c r="F11" s="11" t="s">
        <v>29</v>
      </c>
      <c r="G11" s="12">
        <f>SUM(G5:G10)</f>
        <v>50050</v>
      </c>
      <c r="H11" s="13" t="s">
        <v>30</v>
      </c>
    </row>
  </sheetData>
  <mergeCells count="1">
    <mergeCell ref="A11:D11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ySplit="4" topLeftCell="A5" activePane="bottomLeft" state="frozen"/>
      <selection pane="bottomLeft"/>
    </sheetView>
  </sheetViews>
  <sheetFormatPr defaultRowHeight="16.5"/>
  <cols>
    <col min="1" max="1" width="6" customWidth="1"/>
    <col min="2" max="2" width="20" customWidth="1"/>
    <col min="3" max="3" width="22" customWidth="1"/>
    <col min="4" max="6" width="45" customWidth="1"/>
  </cols>
  <sheetData>
    <row r="1" spans="1:6" ht="24">
      <c r="A1" s="1" t="s">
        <v>31</v>
      </c>
    </row>
    <row r="2" spans="1:6">
      <c r="A2" s="2" t="s">
        <v>32</v>
      </c>
    </row>
    <row r="4" spans="1:6" ht="27.95" customHeight="1">
      <c r="A4" s="3" t="s">
        <v>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</row>
    <row r="5" spans="1:6" ht="65.099999999999994" customHeight="1">
      <c r="A5" s="4">
        <v>1</v>
      </c>
      <c r="B5" s="14" t="s">
        <v>38</v>
      </c>
      <c r="C5" s="14" t="s">
        <v>39</v>
      </c>
      <c r="D5" s="6" t="s">
        <v>40</v>
      </c>
      <c r="E5" s="6" t="s">
        <v>41</v>
      </c>
      <c r="F5" s="6" t="s">
        <v>42</v>
      </c>
    </row>
    <row r="6" spans="1:6" ht="65.099999999999994" customHeight="1">
      <c r="A6" s="7">
        <v>2</v>
      </c>
      <c r="B6" s="15" t="s">
        <v>43</v>
      </c>
      <c r="C6" s="15" t="s">
        <v>44</v>
      </c>
      <c r="D6" s="9" t="s">
        <v>45</v>
      </c>
      <c r="E6" s="9" t="s">
        <v>46</v>
      </c>
      <c r="F6" s="9" t="s">
        <v>47</v>
      </c>
    </row>
    <row r="7" spans="1:6" ht="65.099999999999994" customHeight="1">
      <c r="A7" s="4">
        <v>3</v>
      </c>
      <c r="B7" s="14" t="s">
        <v>48</v>
      </c>
      <c r="C7" s="14" t="s">
        <v>49</v>
      </c>
      <c r="D7" s="6" t="s">
        <v>50</v>
      </c>
      <c r="E7" s="6" t="s">
        <v>51</v>
      </c>
      <c r="F7" s="6" t="s">
        <v>52</v>
      </c>
    </row>
    <row r="8" spans="1:6" ht="65.099999999999994" customHeight="1">
      <c r="A8" s="7">
        <v>4</v>
      </c>
      <c r="B8" s="15" t="s">
        <v>53</v>
      </c>
      <c r="C8" s="15" t="s">
        <v>54</v>
      </c>
      <c r="D8" s="9" t="s">
        <v>55</v>
      </c>
      <c r="E8" s="9" t="s">
        <v>56</v>
      </c>
      <c r="F8" s="9" t="s">
        <v>57</v>
      </c>
    </row>
    <row r="9" spans="1:6" ht="65.099999999999994" customHeight="1">
      <c r="A9" s="4">
        <v>5</v>
      </c>
      <c r="B9" s="14" t="s">
        <v>58</v>
      </c>
      <c r="C9" s="14" t="s">
        <v>59</v>
      </c>
      <c r="D9" s="6" t="s">
        <v>60</v>
      </c>
      <c r="E9" s="6" t="s">
        <v>61</v>
      </c>
      <c r="F9" s="6" t="s">
        <v>62</v>
      </c>
    </row>
    <row r="10" spans="1:6" ht="65.099999999999994" customHeight="1">
      <c r="A10" s="7">
        <v>6</v>
      </c>
      <c r="B10" s="15" t="s">
        <v>63</v>
      </c>
      <c r="C10" s="15" t="s">
        <v>64</v>
      </c>
      <c r="D10" s="9" t="s">
        <v>65</v>
      </c>
      <c r="E10" s="9" t="s">
        <v>66</v>
      </c>
      <c r="F10" s="9" t="s">
        <v>67</v>
      </c>
    </row>
  </sheetData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pane ySplit="4" topLeftCell="A5" activePane="bottomLeft" state="frozen"/>
      <selection pane="bottomLeft"/>
    </sheetView>
  </sheetViews>
  <sheetFormatPr defaultRowHeight="16.5"/>
  <cols>
    <col min="1" max="1" width="25" customWidth="1"/>
    <col min="2" max="2" width="18" customWidth="1"/>
    <col min="3" max="3" width="25" customWidth="1"/>
    <col min="4" max="4" width="22" customWidth="1"/>
    <col min="5" max="5" width="18" customWidth="1"/>
    <col min="6" max="6" width="48" customWidth="1"/>
  </cols>
  <sheetData>
    <row r="1" spans="1:6" ht="24">
      <c r="A1" s="1" t="s">
        <v>68</v>
      </c>
    </row>
    <row r="2" spans="1:6">
      <c r="A2" s="2" t="s">
        <v>69</v>
      </c>
    </row>
    <row r="4" spans="1:6" ht="27.95" customHeight="1">
      <c r="A4" s="3" t="s">
        <v>33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74</v>
      </c>
    </row>
    <row r="5" spans="1:6" ht="24" customHeight="1">
      <c r="A5" s="4" t="s">
        <v>75</v>
      </c>
      <c r="B5" s="4" t="s">
        <v>76</v>
      </c>
      <c r="C5" s="4" t="s">
        <v>77</v>
      </c>
      <c r="D5" s="4" t="s">
        <v>78</v>
      </c>
      <c r="E5" s="4" t="s">
        <v>79</v>
      </c>
      <c r="F5" s="5" t="s">
        <v>80</v>
      </c>
    </row>
    <row r="6" spans="1:6" ht="24" customHeight="1">
      <c r="A6" s="7" t="s">
        <v>75</v>
      </c>
      <c r="B6" s="7" t="s">
        <v>81</v>
      </c>
      <c r="C6" s="7" t="s">
        <v>82</v>
      </c>
      <c r="D6" s="7" t="s">
        <v>83</v>
      </c>
      <c r="E6" s="7" t="s">
        <v>84</v>
      </c>
      <c r="F6" s="8" t="s">
        <v>85</v>
      </c>
    </row>
    <row r="7" spans="1:6" ht="24" customHeight="1">
      <c r="A7" s="4" t="s">
        <v>75</v>
      </c>
      <c r="B7" s="4" t="s">
        <v>86</v>
      </c>
      <c r="C7" s="4" t="s">
        <v>87</v>
      </c>
      <c r="D7" s="4" t="s">
        <v>88</v>
      </c>
      <c r="E7" s="4" t="s">
        <v>89</v>
      </c>
      <c r="F7" s="5" t="s">
        <v>90</v>
      </c>
    </row>
    <row r="8" spans="1:6" ht="24" customHeight="1">
      <c r="A8" s="7" t="s">
        <v>75</v>
      </c>
      <c r="B8" s="7" t="s">
        <v>91</v>
      </c>
      <c r="C8" s="7" t="s">
        <v>92</v>
      </c>
      <c r="D8" s="7" t="s">
        <v>93</v>
      </c>
      <c r="E8" s="7" t="s">
        <v>94</v>
      </c>
      <c r="F8" s="8" t="s">
        <v>95</v>
      </c>
    </row>
    <row r="9" spans="1:6" ht="24" customHeight="1">
      <c r="A9" s="4" t="s">
        <v>96</v>
      </c>
      <c r="B9" s="4" t="s">
        <v>97</v>
      </c>
      <c r="C9" s="4" t="s">
        <v>77</v>
      </c>
      <c r="D9" s="4" t="s">
        <v>78</v>
      </c>
      <c r="E9" s="4" t="s">
        <v>79</v>
      </c>
      <c r="F9" s="5" t="s">
        <v>98</v>
      </c>
    </row>
    <row r="10" spans="1:6" ht="24" customHeight="1">
      <c r="A10" s="7" t="s">
        <v>96</v>
      </c>
      <c r="B10" s="7" t="s">
        <v>99</v>
      </c>
      <c r="C10" s="7" t="s">
        <v>82</v>
      </c>
      <c r="D10" s="7" t="s">
        <v>83</v>
      </c>
      <c r="E10" s="7" t="s">
        <v>84</v>
      </c>
      <c r="F10" s="8" t="s">
        <v>100</v>
      </c>
    </row>
    <row r="11" spans="1:6" ht="24" customHeight="1">
      <c r="A11" s="4" t="s">
        <v>96</v>
      </c>
      <c r="B11" s="4" t="s">
        <v>101</v>
      </c>
      <c r="C11" s="4" t="s">
        <v>102</v>
      </c>
      <c r="D11" s="4" t="s">
        <v>103</v>
      </c>
      <c r="E11" s="4" t="s">
        <v>104</v>
      </c>
      <c r="F11" s="5" t="s">
        <v>105</v>
      </c>
    </row>
    <row r="12" spans="1:6" ht="24" customHeight="1">
      <c r="A12" s="7" t="s">
        <v>106</v>
      </c>
      <c r="B12" s="7" t="s">
        <v>97</v>
      </c>
      <c r="C12" s="7" t="s">
        <v>77</v>
      </c>
      <c r="D12" s="7" t="s">
        <v>78</v>
      </c>
      <c r="E12" s="7" t="s">
        <v>79</v>
      </c>
      <c r="F12" s="8" t="s">
        <v>107</v>
      </c>
    </row>
    <row r="13" spans="1:6" ht="24" customHeight="1">
      <c r="A13" s="4" t="s">
        <v>106</v>
      </c>
      <c r="B13" s="4" t="s">
        <v>99</v>
      </c>
      <c r="C13" s="4" t="s">
        <v>82</v>
      </c>
      <c r="D13" s="4" t="s">
        <v>83</v>
      </c>
      <c r="E13" s="4" t="s">
        <v>84</v>
      </c>
      <c r="F13" s="5" t="s">
        <v>100</v>
      </c>
    </row>
    <row r="14" spans="1:6" ht="24" customHeight="1">
      <c r="A14" s="7" t="s">
        <v>106</v>
      </c>
      <c r="B14" s="7" t="s">
        <v>108</v>
      </c>
      <c r="C14" s="7" t="s">
        <v>109</v>
      </c>
      <c r="D14" s="7" t="s">
        <v>110</v>
      </c>
      <c r="E14" s="7" t="s">
        <v>111</v>
      </c>
      <c r="F14" s="8" t="s">
        <v>112</v>
      </c>
    </row>
    <row r="15" spans="1:6" ht="24" customHeight="1">
      <c r="A15" s="4" t="s">
        <v>113</v>
      </c>
      <c r="B15" s="4" t="s">
        <v>114</v>
      </c>
      <c r="C15" s="4" t="s">
        <v>77</v>
      </c>
      <c r="D15" s="4" t="s">
        <v>115</v>
      </c>
      <c r="E15" s="4" t="s">
        <v>79</v>
      </c>
      <c r="F15" s="5" t="s">
        <v>116</v>
      </c>
    </row>
    <row r="16" spans="1:6" ht="24" customHeight="1">
      <c r="A16" s="7" t="s">
        <v>113</v>
      </c>
      <c r="B16" s="7" t="s">
        <v>117</v>
      </c>
      <c r="C16" s="7" t="s">
        <v>118</v>
      </c>
      <c r="D16" s="7" t="s">
        <v>119</v>
      </c>
      <c r="E16" s="7" t="s">
        <v>120</v>
      </c>
      <c r="F16" s="8" t="s">
        <v>121</v>
      </c>
    </row>
    <row r="17" spans="1:6" ht="24" customHeight="1">
      <c r="A17" s="4" t="s">
        <v>113</v>
      </c>
      <c r="B17" s="4" t="s">
        <v>122</v>
      </c>
      <c r="C17" s="4" t="s">
        <v>82</v>
      </c>
      <c r="D17" s="4" t="s">
        <v>123</v>
      </c>
      <c r="E17" s="4" t="s">
        <v>84</v>
      </c>
      <c r="F17" s="5" t="s">
        <v>124</v>
      </c>
    </row>
    <row r="18" spans="1:6" ht="24" customHeight="1">
      <c r="A18" s="7" t="s">
        <v>125</v>
      </c>
      <c r="B18" s="7" t="s">
        <v>126</v>
      </c>
      <c r="C18" s="7" t="s">
        <v>127</v>
      </c>
      <c r="D18" s="7" t="s">
        <v>128</v>
      </c>
      <c r="E18" s="7" t="s">
        <v>129</v>
      </c>
      <c r="F18" s="8" t="s">
        <v>130</v>
      </c>
    </row>
    <row r="19" spans="1:6" ht="24" customHeight="1">
      <c r="A19" s="4" t="s">
        <v>125</v>
      </c>
      <c r="B19" s="4" t="s">
        <v>131</v>
      </c>
      <c r="C19" s="4" t="s">
        <v>82</v>
      </c>
      <c r="D19" s="4" t="s">
        <v>132</v>
      </c>
      <c r="E19" s="4" t="s">
        <v>84</v>
      </c>
      <c r="F19" s="5" t="s">
        <v>133</v>
      </c>
    </row>
  </sheetData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pane ySplit="4" topLeftCell="A5" activePane="bottomLeft" state="frozen"/>
      <selection pane="bottomLeft"/>
    </sheetView>
  </sheetViews>
  <sheetFormatPr defaultRowHeight="16.5"/>
  <cols>
    <col min="1" max="1" width="10" customWidth="1"/>
    <col min="2" max="2" width="24" customWidth="1"/>
    <col min="3" max="3" width="35" customWidth="1"/>
    <col min="4" max="6" width="25" customWidth="1"/>
  </cols>
  <sheetData>
    <row r="1" spans="1:6" ht="24">
      <c r="A1" s="1" t="s">
        <v>134</v>
      </c>
    </row>
    <row r="2" spans="1:6">
      <c r="A2" s="2" t="s">
        <v>135</v>
      </c>
    </row>
    <row r="4" spans="1:6" ht="24" customHeight="1">
      <c r="A4" s="28" t="s">
        <v>136</v>
      </c>
      <c r="B4" s="29"/>
      <c r="C4" s="29"/>
      <c r="D4" s="29"/>
      <c r="E4" s="29"/>
      <c r="F4" s="29"/>
    </row>
    <row r="5" spans="1:6" ht="24" customHeight="1">
      <c r="A5" s="16" t="s">
        <v>2</v>
      </c>
      <c r="B5" s="16" t="s">
        <v>33</v>
      </c>
      <c r="C5" s="16" t="s">
        <v>137</v>
      </c>
      <c r="D5" s="16" t="s">
        <v>138</v>
      </c>
      <c r="E5" s="16" t="s">
        <v>139</v>
      </c>
      <c r="F5" s="16" t="s">
        <v>140</v>
      </c>
    </row>
    <row r="6" spans="1:6" ht="21.95" customHeight="1">
      <c r="A6" s="4">
        <v>1</v>
      </c>
      <c r="B6" s="5" t="s">
        <v>141</v>
      </c>
      <c r="C6" s="4" t="s">
        <v>142</v>
      </c>
      <c r="D6" s="17" t="s">
        <v>143</v>
      </c>
      <c r="E6" s="4" t="s">
        <v>144</v>
      </c>
      <c r="F6" s="5" t="s">
        <v>145</v>
      </c>
    </row>
    <row r="7" spans="1:6" ht="21.95" customHeight="1">
      <c r="A7" s="7">
        <v>2</v>
      </c>
      <c r="B7" s="8" t="s">
        <v>75</v>
      </c>
      <c r="C7" s="7" t="s">
        <v>142</v>
      </c>
      <c r="D7" s="18" t="s">
        <v>146</v>
      </c>
      <c r="E7" s="7" t="s">
        <v>144</v>
      </c>
      <c r="F7" s="8" t="s">
        <v>147</v>
      </c>
    </row>
    <row r="8" spans="1:6" ht="21.95" customHeight="1">
      <c r="A8" s="4">
        <v>3</v>
      </c>
      <c r="B8" s="5" t="s">
        <v>148</v>
      </c>
      <c r="C8" s="4" t="s">
        <v>142</v>
      </c>
      <c r="D8" s="17" t="s">
        <v>149</v>
      </c>
      <c r="E8" s="4" t="s">
        <v>144</v>
      </c>
      <c r="F8" s="5" t="s">
        <v>150</v>
      </c>
    </row>
    <row r="9" spans="1:6" ht="21.95" customHeight="1">
      <c r="A9" s="7">
        <v>4</v>
      </c>
      <c r="B9" s="8" t="s">
        <v>106</v>
      </c>
      <c r="C9" s="7" t="s">
        <v>142</v>
      </c>
      <c r="D9" s="18" t="s">
        <v>151</v>
      </c>
      <c r="E9" s="7" t="s">
        <v>144</v>
      </c>
      <c r="F9" s="8" t="s">
        <v>152</v>
      </c>
    </row>
    <row r="10" spans="1:6" ht="21.95" customHeight="1">
      <c r="A10" s="4">
        <v>5</v>
      </c>
      <c r="B10" s="5" t="s">
        <v>153</v>
      </c>
      <c r="C10" s="4" t="s">
        <v>142</v>
      </c>
      <c r="D10" s="17" t="s">
        <v>154</v>
      </c>
      <c r="E10" s="4" t="s">
        <v>144</v>
      </c>
      <c r="F10" s="5" t="s">
        <v>155</v>
      </c>
    </row>
    <row r="11" spans="1:6" ht="24.95" customHeight="1">
      <c r="A11" s="24" t="s">
        <v>156</v>
      </c>
      <c r="B11" s="25"/>
      <c r="C11" s="25"/>
      <c r="D11" s="19" t="s">
        <v>157</v>
      </c>
      <c r="E11" s="20" t="s">
        <v>158</v>
      </c>
      <c r="F11" s="21" t="s">
        <v>159</v>
      </c>
    </row>
    <row r="14" spans="1:6" ht="24" customHeight="1">
      <c r="A14" s="28" t="s">
        <v>160</v>
      </c>
      <c r="B14" s="29"/>
      <c r="C14" s="29"/>
      <c r="D14" s="29"/>
      <c r="E14" s="29"/>
      <c r="F14" s="29"/>
    </row>
    <row r="15" spans="1:6" ht="24" customHeight="1">
      <c r="A15" s="16" t="s">
        <v>161</v>
      </c>
      <c r="B15" s="16" t="s">
        <v>162</v>
      </c>
      <c r="C15" s="16" t="s">
        <v>163</v>
      </c>
      <c r="D15" s="16" t="s">
        <v>164</v>
      </c>
    </row>
    <row r="16" spans="1:6" ht="42" customHeight="1">
      <c r="A16" s="4" t="s">
        <v>165</v>
      </c>
      <c r="B16" s="4" t="s">
        <v>166</v>
      </c>
      <c r="C16" s="22" t="s">
        <v>167</v>
      </c>
      <c r="D16" s="30" t="s">
        <v>168</v>
      </c>
      <c r="E16" s="31"/>
      <c r="F16" s="31"/>
    </row>
    <row r="17" spans="1:6" ht="42" customHeight="1">
      <c r="A17" s="7" t="s">
        <v>169</v>
      </c>
      <c r="B17" s="7" t="s">
        <v>170</v>
      </c>
      <c r="C17" s="23" t="s">
        <v>171</v>
      </c>
      <c r="D17" s="26" t="s">
        <v>172</v>
      </c>
      <c r="E17" s="27"/>
      <c r="F17" s="27"/>
    </row>
    <row r="18" spans="1:6" ht="42" customHeight="1">
      <c r="A18" s="4" t="s">
        <v>173</v>
      </c>
      <c r="B18" s="4" t="s">
        <v>174</v>
      </c>
      <c r="C18" s="22" t="s">
        <v>175</v>
      </c>
      <c r="D18" s="30" t="s">
        <v>176</v>
      </c>
      <c r="E18" s="31"/>
      <c r="F18" s="31"/>
    </row>
    <row r="19" spans="1:6" ht="42" customHeight="1">
      <c r="A19" s="7" t="s">
        <v>177</v>
      </c>
      <c r="B19" s="7" t="s">
        <v>178</v>
      </c>
      <c r="C19" s="23" t="s">
        <v>179</v>
      </c>
      <c r="D19" s="26" t="s">
        <v>180</v>
      </c>
      <c r="E19" s="27"/>
      <c r="F19" s="27"/>
    </row>
    <row r="20" spans="1:6" ht="42" customHeight="1">
      <c r="A20" s="4" t="s">
        <v>181</v>
      </c>
      <c r="B20" s="4" t="s">
        <v>182</v>
      </c>
      <c r="C20" s="22" t="s">
        <v>183</v>
      </c>
      <c r="D20" s="30" t="s">
        <v>184</v>
      </c>
      <c r="E20" s="31"/>
      <c r="F20" s="31"/>
    </row>
  </sheetData>
  <mergeCells count="8">
    <mergeCell ref="A4:F4"/>
    <mergeCell ref="D20:F20"/>
    <mergeCell ref="D16:F16"/>
    <mergeCell ref="D19:F19"/>
    <mergeCell ref="A11:C11"/>
    <mergeCell ref="A14:F14"/>
    <mergeCell ref="D18:F18"/>
    <mergeCell ref="D17:F17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1_부품목록_BOM_구매링크</vt:lpstr>
      <vt:lpstr>2_부품별_상세기능_및_원리</vt:lpstr>
      <vt:lpstr>3_하드웨어_배선_및_핀매핑</vt:lpstr>
      <vt:lpstr>4_전력검증_소프트웨어로직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이재용/22000561</cp:lastModifiedBy>
  <dcterms:created xsi:type="dcterms:W3CDTF">2026-08-24T08:49:48Z</dcterms:created>
  <dcterms:modified xsi:type="dcterms:W3CDTF">2026-08-24T08:51:40Z</dcterms:modified>
</cp:coreProperties>
</file>